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set" sheetId="1" state="visible" r:id="rId1"/>
    <sheet xmlns:r="http://schemas.openxmlformats.org/officeDocument/2006/relationships" name="Summary Statistics" sheetId="2" state="visible" r:id="rId2"/>
  </sheets>
  <definedNames>
    <definedName name="_xlnm._FilterDatabase" localSheetId="0" hidden="1">'Cleaned Dataset'!$A$1:$N$21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7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16" customWidth="1" min="9" max="9"/>
    <col width="18" customWidth="1" min="10" max="10"/>
    <col width="16" customWidth="1" min="11" max="11"/>
    <col width="18" customWidth="1" min="12" max="12"/>
    <col width="12" customWidth="1" min="13" max="13"/>
    <col width="22" customWidth="1" min="14" max="14"/>
  </cols>
  <sheetData>
    <row r="1" ht="30" customHeight="1">
      <c r="A1" s="1" t="inlineStr">
        <is>
          <t>Customer ID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Product Category</t>
        </is>
      </c>
      <c r="G1" s="1" t="inlineStr">
        <is>
          <t>Purchase Date</t>
        </is>
      </c>
      <c r="H1" s="1" t="inlineStr">
        <is>
          <t>Units Sold</t>
        </is>
      </c>
      <c r="I1" s="1" t="inlineStr">
        <is>
          <t>Unit Price (USD)</t>
        </is>
      </c>
      <c r="J1" s="1" t="inlineStr">
        <is>
          <t>Total Revenue (USD)</t>
        </is>
      </c>
      <c r="K1" s="1" t="inlineStr">
        <is>
          <t>Payment Method</t>
        </is>
      </c>
      <c r="L1" s="1" t="inlineStr">
        <is>
          <t>Customer Segment</t>
        </is>
      </c>
      <c r="M1" s="1" t="inlineStr">
        <is>
          <t>Churn Flag</t>
        </is>
      </c>
      <c r="N1" s="1" t="inlineStr">
        <is>
          <t>Satisfaction Score (1-5)</t>
        </is>
      </c>
    </row>
    <row r="2">
      <c r="A2" s="2" t="inlineStr">
        <is>
          <t>C001</t>
        </is>
      </c>
      <c r="B2" s="2" t="inlineStr">
        <is>
          <t>Aarav Shah</t>
        </is>
      </c>
      <c r="C2" s="2" t="n">
        <v>28</v>
      </c>
      <c r="D2" s="2" t="inlineStr">
        <is>
          <t>Male</t>
        </is>
      </c>
      <c r="E2" s="2" t="inlineStr">
        <is>
          <t>India</t>
        </is>
      </c>
      <c r="F2" s="2" t="inlineStr">
        <is>
          <t>Electronics</t>
        </is>
      </c>
      <c r="G2" s="2" t="inlineStr">
        <is>
          <t>2024-01-05</t>
        </is>
      </c>
      <c r="H2" s="2" t="n">
        <v>3</v>
      </c>
      <c r="I2" s="3" t="n">
        <v>149.99</v>
      </c>
      <c r="J2" s="3">
        <f>H2*I2</f>
        <v/>
      </c>
      <c r="K2" s="2" t="inlineStr">
        <is>
          <t>UPI</t>
        </is>
      </c>
      <c r="L2" s="2" t="inlineStr">
        <is>
          <t>Premium</t>
        </is>
      </c>
      <c r="M2" s="4" t="n">
        <v>0</v>
      </c>
      <c r="N2" s="2" t="n">
        <v>4.5</v>
      </c>
    </row>
    <row r="3">
      <c r="A3" s="5" t="inlineStr">
        <is>
          <t>C002</t>
        </is>
      </c>
      <c r="B3" s="5" t="inlineStr">
        <is>
          <t>Priya Mehta</t>
        </is>
      </c>
      <c r="C3" s="5" t="n">
        <v>34</v>
      </c>
      <c r="D3" s="5" t="inlineStr">
        <is>
          <t>Female</t>
        </is>
      </c>
      <c r="E3" s="5" t="inlineStr">
        <is>
          <t>India</t>
        </is>
      </c>
      <c r="F3" s="5" t="inlineStr">
        <is>
          <t>Clothing</t>
        </is>
      </c>
      <c r="G3" s="5" t="inlineStr">
        <is>
          <t>2024-01-08</t>
        </is>
      </c>
      <c r="H3" s="5" t="n">
        <v>5</v>
      </c>
      <c r="I3" s="6" t="n">
        <v>39.99</v>
      </c>
      <c r="J3" s="6">
        <f>H3*I3</f>
        <v/>
      </c>
      <c r="K3" s="5" t="inlineStr">
        <is>
          <t>Credit Card</t>
        </is>
      </c>
      <c r="L3" s="5" t="inlineStr">
        <is>
          <t>Regular</t>
        </is>
      </c>
      <c r="M3" s="4" t="n">
        <v>0</v>
      </c>
      <c r="N3" s="5" t="n">
        <v>3.8</v>
      </c>
    </row>
    <row r="4">
      <c r="A4" s="2" t="inlineStr">
        <is>
          <t>C003</t>
        </is>
      </c>
      <c r="B4" s="2" t="inlineStr">
        <is>
          <t>James Carter</t>
        </is>
      </c>
      <c r="C4" s="2" t="n">
        <v>45</v>
      </c>
      <c r="D4" s="2" t="inlineStr">
        <is>
          <t>Male</t>
        </is>
      </c>
      <c r="E4" s="2" t="inlineStr">
        <is>
          <t>USA</t>
        </is>
      </c>
      <c r="F4" s="2" t="inlineStr">
        <is>
          <t>Electronics</t>
        </is>
      </c>
      <c r="G4" s="2" t="inlineStr">
        <is>
          <t>2024-01-12</t>
        </is>
      </c>
      <c r="H4" s="2" t="n">
        <v>2</v>
      </c>
      <c r="I4" s="3" t="n">
        <v>299.99</v>
      </c>
      <c r="J4" s="3">
        <f>H4*I4</f>
        <v/>
      </c>
      <c r="K4" s="2" t="inlineStr">
        <is>
          <t>Debit Card</t>
        </is>
      </c>
      <c r="L4" s="2" t="inlineStr">
        <is>
          <t>Premium</t>
        </is>
      </c>
      <c r="M4" s="4" t="n">
        <v>0</v>
      </c>
      <c r="N4" s="2" t="n">
        <v>5</v>
      </c>
    </row>
    <row r="5">
      <c r="A5" s="5" t="inlineStr">
        <is>
          <t>C004</t>
        </is>
      </c>
      <c r="B5" s="5" t="inlineStr">
        <is>
          <t>Li Wei</t>
        </is>
      </c>
      <c r="C5" s="5" t="n">
        <v>22</v>
      </c>
      <c r="D5" s="5" t="inlineStr">
        <is>
          <t>Female</t>
        </is>
      </c>
      <c r="E5" s="5" t="inlineStr">
        <is>
          <t>China</t>
        </is>
      </c>
      <c r="F5" s="5" t="inlineStr">
        <is>
          <t>Books</t>
        </is>
      </c>
      <c r="G5" s="5" t="inlineStr">
        <is>
          <t>2024-01-15</t>
        </is>
      </c>
      <c r="H5" s="5" t="n">
        <v>8</v>
      </c>
      <c r="I5" s="6" t="n">
        <v>12.5</v>
      </c>
      <c r="J5" s="6">
        <f>H5*I5</f>
        <v/>
      </c>
      <c r="K5" s="5" t="inlineStr">
        <is>
          <t>PayPal</t>
        </is>
      </c>
      <c r="L5" s="5" t="inlineStr">
        <is>
          <t>Budget</t>
        </is>
      </c>
      <c r="M5" s="4" t="n">
        <v>0</v>
      </c>
      <c r="N5" s="5" t="n">
        <v>4.2</v>
      </c>
    </row>
    <row r="6">
      <c r="A6" s="2" t="inlineStr">
        <is>
          <t>C005</t>
        </is>
      </c>
      <c r="B6" s="2" t="inlineStr">
        <is>
          <t>Maria Garcia</t>
        </is>
      </c>
      <c r="C6" s="2" t="n">
        <v>31</v>
      </c>
      <c r="D6" s="2" t="inlineStr">
        <is>
          <t>Female</t>
        </is>
      </c>
      <c r="E6" s="2" t="inlineStr">
        <is>
          <t>Spain</t>
        </is>
      </c>
      <c r="F6" s="2" t="inlineStr">
        <is>
          <t>Beauty</t>
        </is>
      </c>
      <c r="G6" s="2" t="inlineStr">
        <is>
          <t>2024-01-18</t>
        </is>
      </c>
      <c r="H6" s="2" t="n">
        <v>4</v>
      </c>
      <c r="I6" s="3" t="n">
        <v>24.99</v>
      </c>
      <c r="J6" s="3">
        <f>H6*I6</f>
        <v/>
      </c>
      <c r="K6" s="2" t="inlineStr">
        <is>
          <t>Credit Card</t>
        </is>
      </c>
      <c r="L6" s="2" t="inlineStr">
        <is>
          <t>Regular</t>
        </is>
      </c>
      <c r="M6" s="4" t="n">
        <v>0</v>
      </c>
      <c r="N6" s="2" t="n">
        <v>4</v>
      </c>
    </row>
    <row r="7">
      <c r="A7" s="5" t="inlineStr">
        <is>
          <t>C006</t>
        </is>
      </c>
      <c r="B7" s="5" t="inlineStr">
        <is>
          <t>Riya Patel</t>
        </is>
      </c>
      <c r="C7" s="5" t="n">
        <v>27</v>
      </c>
      <c r="D7" s="5" t="inlineStr">
        <is>
          <t>Female</t>
        </is>
      </c>
      <c r="E7" s="5" t="inlineStr">
        <is>
          <t>India</t>
        </is>
      </c>
      <c r="F7" s="5" t="inlineStr">
        <is>
          <t>Sports</t>
        </is>
      </c>
      <c r="G7" s="5" t="inlineStr">
        <is>
          <t>2024-01-20</t>
        </is>
      </c>
      <c r="H7" s="5" t="n">
        <v>6</v>
      </c>
      <c r="I7" s="6" t="n">
        <v>59.99</v>
      </c>
      <c r="J7" s="6">
        <f>H7*I7</f>
        <v/>
      </c>
      <c r="K7" s="5" t="inlineStr">
        <is>
          <t>UPI</t>
        </is>
      </c>
      <c r="L7" s="5" t="inlineStr">
        <is>
          <t>Regular</t>
        </is>
      </c>
      <c r="M7" s="4" t="n">
        <v>0</v>
      </c>
      <c r="N7" s="5" t="n">
        <v>3.5</v>
      </c>
    </row>
    <row r="8">
      <c r="A8" s="2" t="inlineStr">
        <is>
          <t>C007</t>
        </is>
      </c>
      <c r="B8" s="2" t="inlineStr">
        <is>
          <t>David Kim</t>
        </is>
      </c>
      <c r="C8" s="2" t="n">
        <v>39</v>
      </c>
      <c r="D8" s="2" t="inlineStr">
        <is>
          <t>Male</t>
        </is>
      </c>
      <c r="E8" s="2" t="inlineStr">
        <is>
          <t>South Korea</t>
        </is>
      </c>
      <c r="F8" s="2" t="inlineStr">
        <is>
          <t>Electronics</t>
        </is>
      </c>
      <c r="G8" s="2" t="inlineStr">
        <is>
          <t>2024-01-22</t>
        </is>
      </c>
      <c r="H8" s="2" t="n">
        <v>1</v>
      </c>
      <c r="I8" s="3" t="n">
        <v>899.99</v>
      </c>
      <c r="J8" s="3">
        <f>H8*I8</f>
        <v/>
      </c>
      <c r="K8" s="2" t="inlineStr">
        <is>
          <t>Credit Card</t>
        </is>
      </c>
      <c r="L8" s="2" t="inlineStr">
        <is>
          <t>Premium</t>
        </is>
      </c>
      <c r="M8" s="4" t="n">
        <v>0</v>
      </c>
      <c r="N8" s="2" t="n">
        <v>4.8</v>
      </c>
    </row>
    <row r="9">
      <c r="A9" s="5" t="inlineStr">
        <is>
          <t>C008</t>
        </is>
      </c>
      <c r="B9" s="5" t="inlineStr">
        <is>
          <t>Fatima Al-Sayed</t>
        </is>
      </c>
      <c r="C9" s="5" t="n">
        <v>52</v>
      </c>
      <c r="D9" s="5" t="inlineStr">
        <is>
          <t>Female</t>
        </is>
      </c>
      <c r="E9" s="5" t="inlineStr">
        <is>
          <t>UAE</t>
        </is>
      </c>
      <c r="F9" s="5" t="inlineStr">
        <is>
          <t>Clothing</t>
        </is>
      </c>
      <c r="G9" s="5" t="inlineStr">
        <is>
          <t>2024-01-25</t>
        </is>
      </c>
      <c r="H9" s="5" t="n">
        <v>3</v>
      </c>
      <c r="I9" s="6" t="n">
        <v>89.98999999999999</v>
      </c>
      <c r="J9" s="6">
        <f>H9*I9</f>
        <v/>
      </c>
      <c r="K9" s="5" t="inlineStr">
        <is>
          <t>Credit Card</t>
        </is>
      </c>
      <c r="L9" s="5" t="inlineStr">
        <is>
          <t>Premium</t>
        </is>
      </c>
      <c r="M9" s="7" t="n">
        <v>1</v>
      </c>
      <c r="N9" s="5" t="n">
        <v>2.5</v>
      </c>
    </row>
    <row r="10">
      <c r="A10" s="2" t="inlineStr">
        <is>
          <t>C009</t>
        </is>
      </c>
      <c r="B10" s="2" t="inlineStr">
        <is>
          <t>Chen Jing</t>
        </is>
      </c>
      <c r="C10" s="2" t="n">
        <v>29</v>
      </c>
      <c r="D10" s="2" t="inlineStr">
        <is>
          <t>Male</t>
        </is>
      </c>
      <c r="E10" s="2" t="inlineStr">
        <is>
          <t>China</t>
        </is>
      </c>
      <c r="F10" s="2" t="inlineStr">
        <is>
          <t>Food &amp; Beverage</t>
        </is>
      </c>
      <c r="G10" s="2" t="inlineStr">
        <is>
          <t>2024-02-01</t>
        </is>
      </c>
      <c r="H10" s="2" t="n">
        <v>12</v>
      </c>
      <c r="I10" s="3" t="n">
        <v>8.99</v>
      </c>
      <c r="J10" s="3">
        <f>H10*I10</f>
        <v/>
      </c>
      <c r="K10" s="2" t="inlineStr">
        <is>
          <t>Alipay</t>
        </is>
      </c>
      <c r="L10" s="2" t="inlineStr">
        <is>
          <t>Budget</t>
        </is>
      </c>
      <c r="M10" s="4" t="n">
        <v>0</v>
      </c>
      <c r="N10" s="2" t="n">
        <v>4.1</v>
      </c>
    </row>
    <row r="11">
      <c r="A11" s="5" t="inlineStr">
        <is>
          <t>C010</t>
        </is>
      </c>
      <c r="B11" s="5" t="inlineStr">
        <is>
          <t>Sophie Mueller</t>
        </is>
      </c>
      <c r="C11" s="5" t="n">
        <v>44</v>
      </c>
      <c r="D11" s="5" t="inlineStr">
        <is>
          <t>Female</t>
        </is>
      </c>
      <c r="E11" s="5" t="inlineStr">
        <is>
          <t>Germany</t>
        </is>
      </c>
      <c r="F11" s="5" t="inlineStr">
        <is>
          <t>Books</t>
        </is>
      </c>
      <c r="G11" s="5" t="inlineStr">
        <is>
          <t>2024-02-03</t>
        </is>
      </c>
      <c r="H11" s="5" t="n">
        <v>2</v>
      </c>
      <c r="I11" s="6" t="n">
        <v>29.99</v>
      </c>
      <c r="J11" s="6">
        <f>H11*I11</f>
        <v/>
      </c>
      <c r="K11" s="5" t="inlineStr">
        <is>
          <t>PayPal</t>
        </is>
      </c>
      <c r="L11" s="5" t="inlineStr">
        <is>
          <t>Regular</t>
        </is>
      </c>
      <c r="M11" s="4" t="n">
        <v>0</v>
      </c>
      <c r="N11" s="5" t="n">
        <v>3.9</v>
      </c>
    </row>
    <row r="12">
      <c r="A12" s="2" t="inlineStr">
        <is>
          <t>C011</t>
        </is>
      </c>
      <c r="B12" s="2" t="inlineStr">
        <is>
          <t>Arjun Nair</t>
        </is>
      </c>
      <c r="C12" s="2" t="n">
        <v>33</v>
      </c>
      <c r="D12" s="2" t="inlineStr">
        <is>
          <t>Male</t>
        </is>
      </c>
      <c r="E12" s="2" t="inlineStr">
        <is>
          <t>India</t>
        </is>
      </c>
      <c r="F12" s="2" t="inlineStr">
        <is>
          <t>Electronics</t>
        </is>
      </c>
      <c r="G12" s="2" t="inlineStr">
        <is>
          <t>2024-02-07</t>
        </is>
      </c>
      <c r="H12" s="2" t="n">
        <v>2</v>
      </c>
      <c r="I12" s="3" t="n">
        <v>199.99</v>
      </c>
      <c r="J12" s="3">
        <f>H12*I12</f>
        <v/>
      </c>
      <c r="K12" s="2" t="inlineStr">
        <is>
          <t>UPI</t>
        </is>
      </c>
      <c r="L12" s="2" t="inlineStr">
        <is>
          <t>Regular</t>
        </is>
      </c>
      <c r="M12" s="4" t="n">
        <v>0</v>
      </c>
      <c r="N12" s="2" t="n">
        <v>4.3</v>
      </c>
    </row>
    <row r="13">
      <c r="A13" s="5" t="inlineStr">
        <is>
          <t>C012</t>
        </is>
      </c>
      <c r="B13" s="5" t="inlineStr">
        <is>
          <t>Emma Thompson</t>
        </is>
      </c>
      <c r="C13" s="5" t="n">
        <v>26</v>
      </c>
      <c r="D13" s="5" t="inlineStr">
        <is>
          <t>Female</t>
        </is>
      </c>
      <c r="E13" s="5" t="inlineStr">
        <is>
          <t>UK</t>
        </is>
      </c>
      <c r="F13" s="5" t="inlineStr">
        <is>
          <t>Beauty</t>
        </is>
      </c>
      <c r="G13" s="5" t="inlineStr">
        <is>
          <t>2024-02-10</t>
        </is>
      </c>
      <c r="H13" s="5" t="n">
        <v>7</v>
      </c>
      <c r="I13" s="6" t="n">
        <v>18.5</v>
      </c>
      <c r="J13" s="6">
        <f>H13*I13</f>
        <v/>
      </c>
      <c r="K13" s="5" t="inlineStr">
        <is>
          <t>Debit Card</t>
        </is>
      </c>
      <c r="L13" s="5" t="inlineStr">
        <is>
          <t>Budget</t>
        </is>
      </c>
      <c r="M13" s="4" t="n">
        <v>0</v>
      </c>
      <c r="N13" s="5" t="n">
        <v>3.7</v>
      </c>
    </row>
    <row r="14">
      <c r="A14" s="2" t="inlineStr">
        <is>
          <t>C013</t>
        </is>
      </c>
      <c r="B14" s="2" t="inlineStr">
        <is>
          <t>Omar Hassan</t>
        </is>
      </c>
      <c r="C14" s="2" t="n">
        <v>47</v>
      </c>
      <c r="D14" s="2" t="inlineStr">
        <is>
          <t>Male</t>
        </is>
      </c>
      <c r="E14" s="2" t="inlineStr">
        <is>
          <t>Egypt</t>
        </is>
      </c>
      <c r="F14" s="2" t="inlineStr">
        <is>
          <t>Sports</t>
        </is>
      </c>
      <c r="G14" s="2" t="inlineStr">
        <is>
          <t>2024-02-14</t>
        </is>
      </c>
      <c r="H14" s="2" t="n">
        <v>3</v>
      </c>
      <c r="I14" s="3" t="n">
        <v>74.98999999999999</v>
      </c>
      <c r="J14" s="3">
        <f>H14*I14</f>
        <v/>
      </c>
      <c r="K14" s="2" t="inlineStr">
        <is>
          <t>Credit Card</t>
        </is>
      </c>
      <c r="L14" s="2" t="inlineStr">
        <is>
          <t>Regular</t>
        </is>
      </c>
      <c r="M14" s="7" t="n">
        <v>1</v>
      </c>
      <c r="N14" s="2" t="n">
        <v>2.8</v>
      </c>
    </row>
    <row r="15">
      <c r="A15" s="5" t="inlineStr">
        <is>
          <t>C014</t>
        </is>
      </c>
      <c r="B15" s="5" t="inlineStr">
        <is>
          <t>Yuki Tanaka</t>
        </is>
      </c>
      <c r="C15" s="5" t="n">
        <v>35</v>
      </c>
      <c r="D15" s="5" t="inlineStr">
        <is>
          <t>Female</t>
        </is>
      </c>
      <c r="E15" s="5" t="inlineStr">
        <is>
          <t>Japan</t>
        </is>
      </c>
      <c r="F15" s="5" t="inlineStr">
        <is>
          <t>Clothing</t>
        </is>
      </c>
      <c r="G15" s="5" t="inlineStr">
        <is>
          <t>2024-02-18</t>
        </is>
      </c>
      <c r="H15" s="5" t="n">
        <v>4</v>
      </c>
      <c r="I15" s="6" t="n">
        <v>55</v>
      </c>
      <c r="J15" s="6">
        <f>H15*I15</f>
        <v/>
      </c>
      <c r="K15" s="5" t="inlineStr">
        <is>
          <t>Credit Card</t>
        </is>
      </c>
      <c r="L15" s="5" t="inlineStr">
        <is>
          <t>Regular</t>
        </is>
      </c>
      <c r="M15" s="4" t="n">
        <v>0</v>
      </c>
      <c r="N15" s="5" t="n">
        <v>4.6</v>
      </c>
    </row>
    <row r="16">
      <c r="A16" s="2" t="inlineStr">
        <is>
          <t>C015</t>
        </is>
      </c>
      <c r="B16" s="2" t="inlineStr">
        <is>
          <t>Carlos Souza</t>
        </is>
      </c>
      <c r="C16" s="2" t="n">
        <v>41</v>
      </c>
      <c r="D16" s="2" t="inlineStr">
        <is>
          <t>Male</t>
        </is>
      </c>
      <c r="E16" s="2" t="inlineStr">
        <is>
          <t>Brazil</t>
        </is>
      </c>
      <c r="F16" s="2" t="inlineStr">
        <is>
          <t>Electronics</t>
        </is>
      </c>
      <c r="G16" s="2" t="inlineStr">
        <is>
          <t>2024-02-22</t>
        </is>
      </c>
      <c r="H16" s="2" t="n">
        <v>1</v>
      </c>
      <c r="I16" s="3" t="n">
        <v>549.99</v>
      </c>
      <c r="J16" s="3">
        <f>H16*I16</f>
        <v/>
      </c>
      <c r="K16" s="2" t="inlineStr">
        <is>
          <t>Boleto</t>
        </is>
      </c>
      <c r="L16" s="2" t="inlineStr">
        <is>
          <t>Premium</t>
        </is>
      </c>
      <c r="M16" s="4" t="n">
        <v>0</v>
      </c>
      <c r="N16" s="2" t="n">
        <v>4</v>
      </c>
    </row>
    <row r="17">
      <c r="A17" s="5" t="inlineStr">
        <is>
          <t>C016</t>
        </is>
      </c>
      <c r="B17" s="5" t="inlineStr">
        <is>
          <t>Neha Gupta</t>
        </is>
      </c>
      <c r="C17" s="5" t="n">
        <v>30</v>
      </c>
      <c r="D17" s="5" t="inlineStr">
        <is>
          <t>Female</t>
        </is>
      </c>
      <c r="E17" s="5" t="inlineStr">
        <is>
          <t>India</t>
        </is>
      </c>
      <c r="F17" s="5" t="inlineStr">
        <is>
          <t>Food &amp; Beverage</t>
        </is>
      </c>
      <c r="G17" s="5" t="inlineStr">
        <is>
          <t>2024-03-01</t>
        </is>
      </c>
      <c r="H17" s="5" t="n">
        <v>15</v>
      </c>
      <c r="I17" s="6" t="n">
        <v>6.99</v>
      </c>
      <c r="J17" s="6">
        <f>H17*I17</f>
        <v/>
      </c>
      <c r="K17" s="5" t="inlineStr">
        <is>
          <t>UPI</t>
        </is>
      </c>
      <c r="L17" s="5" t="inlineStr">
        <is>
          <t>Budget</t>
        </is>
      </c>
      <c r="M17" s="4" t="n">
        <v>0</v>
      </c>
      <c r="N17" s="5" t="n">
        <v>4.4</v>
      </c>
    </row>
    <row r="18">
      <c r="A18" s="2" t="inlineStr">
        <is>
          <t>C017</t>
        </is>
      </c>
      <c r="B18" s="2" t="inlineStr">
        <is>
          <t>Liam OBrien</t>
        </is>
      </c>
      <c r="C18" s="2" t="n">
        <v>38</v>
      </c>
      <c r="D18" s="2" t="inlineStr">
        <is>
          <t>Male</t>
        </is>
      </c>
      <c r="E18" s="2" t="inlineStr">
        <is>
          <t>Ireland</t>
        </is>
      </c>
      <c r="F18" s="2" t="inlineStr">
        <is>
          <t>Books</t>
        </is>
      </c>
      <c r="G18" s="2" t="inlineStr">
        <is>
          <t>2024-03-05</t>
        </is>
      </c>
      <c r="H18" s="2" t="n">
        <v>3</v>
      </c>
      <c r="I18" s="3" t="n">
        <v>22.99</v>
      </c>
      <c r="J18" s="3">
        <f>H18*I18</f>
        <v/>
      </c>
      <c r="K18" s="2" t="inlineStr">
        <is>
          <t>PayPal</t>
        </is>
      </c>
      <c r="L18" s="2" t="inlineStr">
        <is>
          <t>Regular</t>
        </is>
      </c>
      <c r="M18" s="4" t="n">
        <v>0</v>
      </c>
      <c r="N18" s="2" t="n">
        <v>3.6</v>
      </c>
    </row>
    <row r="19">
      <c r="A19" s="5" t="inlineStr">
        <is>
          <t>C018</t>
        </is>
      </c>
      <c r="B19" s="5" t="inlineStr">
        <is>
          <t>Anjali Singh</t>
        </is>
      </c>
      <c r="C19" s="5" t="n">
        <v>25</v>
      </c>
      <c r="D19" s="5" t="inlineStr">
        <is>
          <t>Female</t>
        </is>
      </c>
      <c r="E19" s="5" t="inlineStr">
        <is>
          <t>India</t>
        </is>
      </c>
      <c r="F19" s="5" t="inlineStr">
        <is>
          <t>Beauty</t>
        </is>
      </c>
      <c r="G19" s="5" t="inlineStr">
        <is>
          <t>2024-03-09</t>
        </is>
      </c>
      <c r="H19" s="5" t="n">
        <v>6</v>
      </c>
      <c r="I19" s="6" t="n">
        <v>31</v>
      </c>
      <c r="J19" s="6">
        <f>H19*I19</f>
        <v/>
      </c>
      <c r="K19" s="5" t="inlineStr">
        <is>
          <t>UPI</t>
        </is>
      </c>
      <c r="L19" s="5" t="inlineStr">
        <is>
          <t>Regular</t>
        </is>
      </c>
      <c r="M19" s="4" t="n">
        <v>0</v>
      </c>
      <c r="N19" s="5" t="n">
        <v>4.2</v>
      </c>
    </row>
    <row r="20">
      <c r="A20" s="2" t="inlineStr">
        <is>
          <t>C019</t>
        </is>
      </c>
      <c r="B20" s="2" t="inlineStr">
        <is>
          <t>Mohammed Al-Farsi</t>
        </is>
      </c>
      <c r="C20" s="2" t="n">
        <v>55</v>
      </c>
      <c r="D20" s="2" t="inlineStr">
        <is>
          <t>Male</t>
        </is>
      </c>
      <c r="E20" s="2" t="inlineStr">
        <is>
          <t>Saudi Arabia</t>
        </is>
      </c>
      <c r="F20" s="2" t="inlineStr">
        <is>
          <t>Electronics</t>
        </is>
      </c>
      <c r="G20" s="2" t="inlineStr">
        <is>
          <t>2024-03-12</t>
        </is>
      </c>
      <c r="H20" s="2" t="n">
        <v>2</v>
      </c>
      <c r="I20" s="3" t="n">
        <v>749.99</v>
      </c>
      <c r="J20" s="3">
        <f>H20*I20</f>
        <v/>
      </c>
      <c r="K20" s="2" t="inlineStr">
        <is>
          <t>Credit Card</t>
        </is>
      </c>
      <c r="L20" s="2" t="inlineStr">
        <is>
          <t>Premium</t>
        </is>
      </c>
      <c r="M20" s="4" t="n">
        <v>0</v>
      </c>
      <c r="N20" s="2" t="n">
        <v>4.7</v>
      </c>
    </row>
    <row r="21">
      <c r="A21" s="5" t="inlineStr">
        <is>
          <t>C020</t>
        </is>
      </c>
      <c r="B21" s="5" t="inlineStr">
        <is>
          <t>Isabelle Dupont</t>
        </is>
      </c>
      <c r="C21" s="5" t="n">
        <v>43</v>
      </c>
      <c r="D21" s="5" t="inlineStr">
        <is>
          <t>Female</t>
        </is>
      </c>
      <c r="E21" s="5" t="inlineStr">
        <is>
          <t>France</t>
        </is>
      </c>
      <c r="F21" s="5" t="inlineStr">
        <is>
          <t>Clothing</t>
        </is>
      </c>
      <c r="G21" s="5" t="inlineStr">
        <is>
          <t>2024-03-15</t>
        </is>
      </c>
      <c r="H21" s="5" t="n">
        <v>5</v>
      </c>
      <c r="I21" s="6" t="n">
        <v>65.98999999999999</v>
      </c>
      <c r="J21" s="6">
        <f>H21*I21</f>
        <v/>
      </c>
      <c r="K21" s="5" t="inlineStr">
        <is>
          <t>Credit Card</t>
        </is>
      </c>
      <c r="L21" s="5" t="inlineStr">
        <is>
          <t>Regular</t>
        </is>
      </c>
      <c r="M21" s="7" t="n">
        <v>1</v>
      </c>
      <c r="N21" s="5" t="n">
        <v>2.2</v>
      </c>
    </row>
  </sheetData>
  <autoFilter ref="A1:N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0" customWidth="1" min="4" max="4"/>
  </cols>
  <sheetData>
    <row r="1" ht="22" customHeight="1">
      <c r="A1" s="8" t="inlineStr">
        <is>
          <t>Metric</t>
        </is>
      </c>
      <c r="B1" s="8" t="inlineStr">
        <is>
          <t>Value</t>
        </is>
      </c>
      <c r="C1" s="8" t="inlineStr">
        <is>
          <t>Details</t>
        </is>
      </c>
      <c r="D1" s="8" t="inlineStr">
        <is>
          <t>Source</t>
        </is>
      </c>
    </row>
    <row r="2" ht="18" customHeight="1">
      <c r="A2" s="9" t="inlineStr">
        <is>
          <t>Dataset Overview</t>
        </is>
      </c>
    </row>
    <row r="3" ht="18" customHeight="1">
      <c r="A3" s="10" t="inlineStr">
        <is>
          <t>Total Records</t>
        </is>
      </c>
      <c r="B3" s="11" t="n">
        <v>20</v>
      </c>
      <c r="C3" s="11" t="inlineStr">
        <is>
          <t>Rows of customer data</t>
        </is>
      </c>
      <c r="D3" s="11" t="inlineStr">
        <is>
          <t>Cleaned Dataset</t>
        </is>
      </c>
    </row>
    <row r="4" ht="18" customHeight="1">
      <c r="A4" s="10" t="inlineStr">
        <is>
          <t>Total Features</t>
        </is>
      </c>
      <c r="B4" s="11" t="n">
        <v>14</v>
      </c>
      <c r="C4" s="11" t="inlineStr">
        <is>
          <t>Columns / Variables</t>
        </is>
      </c>
      <c r="D4" s="11" t="inlineStr">
        <is>
          <t>Cleaned Dataset</t>
        </is>
      </c>
    </row>
    <row r="5" ht="18" customHeight="1">
      <c r="A5" s="10" t="inlineStr">
        <is>
          <t>Missing Values</t>
        </is>
      </c>
      <c r="B5" s="11" t="n">
        <v>0</v>
      </c>
      <c r="C5" s="11" t="inlineStr">
        <is>
          <t>After cleaning</t>
        </is>
      </c>
      <c r="D5" s="11" t="inlineStr">
        <is>
          <t>Cleaned Dataset</t>
        </is>
      </c>
    </row>
    <row r="6" ht="18" customHeight="1">
      <c r="A6" s="10" t="inlineStr">
        <is>
          <t>Duplicate Records</t>
        </is>
      </c>
      <c r="B6" s="11" t="n">
        <v>0</v>
      </c>
      <c r="C6" s="11" t="inlineStr">
        <is>
          <t>Removed during cleaning</t>
        </is>
      </c>
      <c r="D6" s="11" t="inlineStr">
        <is>
          <t>Cleaned Dataset</t>
        </is>
      </c>
    </row>
    <row r="7" ht="18" customHeight="1">
      <c r="A7" s="10" t="inlineStr">
        <is>
          <t>Date Range</t>
        </is>
      </c>
      <c r="B7" s="11" t="inlineStr">
        <is>
          <t>Jan-Mar 2024</t>
        </is>
      </c>
      <c r="C7" s="11" t="inlineStr">
        <is>
          <t>3-month period</t>
        </is>
      </c>
      <c r="D7" s="11" t="inlineStr">
        <is>
          <t>Cleaned Dataset</t>
        </is>
      </c>
    </row>
    <row r="8" ht="18" customHeight="1"/>
    <row r="9" ht="18" customHeight="1">
      <c r="A9" s="9" t="inlineStr">
        <is>
          <t>Revenue Metrics</t>
        </is>
      </c>
    </row>
    <row r="10" ht="18" customHeight="1">
      <c r="A10" s="10" t="inlineStr">
        <is>
          <t>Total Revenue (USD)</t>
        </is>
      </c>
      <c r="B10" s="11">
        <f>SUM('Cleaned Dataset'!J2:J21)</f>
        <v/>
      </c>
      <c r="C10" s="11" t="inlineStr">
        <is>
          <t>All transactions</t>
        </is>
      </c>
      <c r="D10" s="11" t="inlineStr">
        <is>
          <t>Cleaned Dataset</t>
        </is>
      </c>
    </row>
    <row r="11" ht="18" customHeight="1">
      <c r="A11" s="10" t="inlineStr">
        <is>
          <t>Avg Revenue / Order</t>
        </is>
      </c>
      <c r="B11" s="11">
        <f>AVERAGE('Cleaned Dataset'!J2:J21)</f>
        <v/>
      </c>
      <c r="C11" s="11" t="inlineStr">
        <is>
          <t>Mean order value</t>
        </is>
      </c>
      <c r="D11" s="11" t="inlineStr">
        <is>
          <t>Cleaned Dataset</t>
        </is>
      </c>
    </row>
    <row r="12" ht="18" customHeight="1">
      <c r="A12" s="10" t="inlineStr">
        <is>
          <t>Max Revenue / Order</t>
        </is>
      </c>
      <c r="B12" s="11">
        <f>MAX('Cleaned Dataset'!J2:J21)</f>
        <v/>
      </c>
      <c r="C12" s="11" t="inlineStr">
        <is>
          <t>Highest order</t>
        </is>
      </c>
      <c r="D12" s="11" t="inlineStr">
        <is>
          <t>Cleaned Dataset</t>
        </is>
      </c>
    </row>
    <row r="13" ht="18" customHeight="1">
      <c r="A13" s="10" t="inlineStr">
        <is>
          <t>Min Revenue / Order</t>
        </is>
      </c>
      <c r="B13" s="11">
        <f>MIN('Cleaned Dataset'!J2:J21)</f>
        <v/>
      </c>
      <c r="C13" s="11" t="inlineStr">
        <is>
          <t>Lowest order</t>
        </is>
      </c>
      <c r="D13" s="11" t="inlineStr">
        <is>
          <t>Cleaned Dataset</t>
        </is>
      </c>
    </row>
    <row r="14" ht="18" customHeight="1"/>
    <row r="15" ht="18" customHeight="1">
      <c r="A15" s="9" t="inlineStr">
        <is>
          <t>Customer Metrics</t>
        </is>
      </c>
    </row>
    <row r="16" ht="18" customHeight="1">
      <c r="A16" s="10" t="inlineStr">
        <is>
          <t>Average Customer Age</t>
        </is>
      </c>
      <c r="B16" s="11">
        <f>AVERAGE('Cleaned Dataset'!C2:C21)</f>
        <v/>
      </c>
      <c r="C16" s="11" t="inlineStr">
        <is>
          <t>Years</t>
        </is>
      </c>
      <c r="D16" s="11" t="inlineStr">
        <is>
          <t>Cleaned Dataset</t>
        </is>
      </c>
    </row>
    <row r="17" ht="18" customHeight="1">
      <c r="A17" s="10" t="inlineStr">
        <is>
          <t>Churn Rate (%)</t>
        </is>
      </c>
      <c r="B17" s="11">
        <f>COUNTIF('Cleaned Dataset'!M2:M21,1)/20*100</f>
        <v/>
      </c>
      <c r="C17" s="11" t="inlineStr">
        <is>
          <t>% churned</t>
        </is>
      </c>
      <c r="D17" s="11" t="inlineStr">
        <is>
          <t>Cleaned Dataset</t>
        </is>
      </c>
    </row>
    <row r="18" ht="18" customHeight="1">
      <c r="A18" s="10" t="inlineStr">
        <is>
          <t>Avg Satisfaction Score</t>
        </is>
      </c>
      <c r="B18" s="11">
        <f>AVERAGE('Cleaned Dataset'!N2:N21)</f>
        <v/>
      </c>
      <c r="C18" s="11" t="inlineStr">
        <is>
          <t>Out of 5</t>
        </is>
      </c>
      <c r="D18" s="11" t="inlineStr">
        <is>
          <t>Cleaned Dataset</t>
        </is>
      </c>
    </row>
    <row r="19" ht="18" customHeight="1">
      <c r="A19" s="10" t="inlineStr">
        <is>
          <t>Premium Customers</t>
        </is>
      </c>
      <c r="B19" s="11">
        <f>COUNTIF('Cleaned Dataset'!L2:L21,"Premium")</f>
        <v/>
      </c>
      <c r="C19" s="11" t="inlineStr">
        <is>
          <t>Count</t>
        </is>
      </c>
      <c r="D19" s="11" t="inlineStr">
        <is>
          <t>Cleaned Dataset</t>
        </is>
      </c>
    </row>
    <row r="20" ht="18" customHeight="1">
      <c r="A20" s="10" t="inlineStr">
        <is>
          <t>Budget Customers</t>
        </is>
      </c>
      <c r="B20" s="11">
        <f>COUNTIF('Cleaned Dataset'!L2:L21,"Budget")</f>
        <v/>
      </c>
      <c r="C20" s="11" t="inlineStr">
        <is>
          <t>Count</t>
        </is>
      </c>
      <c r="D20" s="11" t="inlineStr">
        <is>
          <t>Cleaned Dataset</t>
        </is>
      </c>
    </row>
    <row r="21" ht="18" customHeight="1"/>
    <row r="22" ht="18" customHeight="1">
      <c r="A22" s="9" t="inlineStr">
        <is>
          <t>Data Cleaning Steps Applied</t>
        </is>
      </c>
    </row>
    <row r="23" ht="18" customHeight="1">
      <c r="A23" s="10" t="inlineStr">
        <is>
          <t>1. Removed duplicates</t>
        </is>
      </c>
      <c r="B23" s="11" t="inlineStr">
        <is>
          <t>0 found</t>
        </is>
      </c>
      <c r="C23" s="11" t="inlineStr">
        <is>
          <t>Validated via Customer ID</t>
        </is>
      </c>
      <c r="D23" s="11" t="inlineStr">
        <is>
          <t>Pre-processing</t>
        </is>
      </c>
    </row>
    <row r="24" ht="18" customHeight="1">
      <c r="A24" s="10" t="inlineStr">
        <is>
          <t>2. Standardised date format</t>
        </is>
      </c>
      <c r="B24" s="11" t="inlineStr">
        <is>
          <t>YYYY-MM-DD</t>
        </is>
      </c>
      <c r="C24" s="11" t="inlineStr">
        <is>
          <t>ISO 8601 standard applied</t>
        </is>
      </c>
      <c r="D24" s="11" t="inlineStr">
        <is>
          <t>Pre-processing</t>
        </is>
      </c>
    </row>
    <row r="25" ht="18" customHeight="1">
      <c r="A25" s="10" t="inlineStr">
        <is>
          <t>3. Handled missing values</t>
        </is>
      </c>
      <c r="B25" s="11" t="inlineStr">
        <is>
          <t>0 remaining</t>
        </is>
      </c>
      <c r="C25" s="11" t="inlineStr">
        <is>
          <t>Dataset is complete</t>
        </is>
      </c>
      <c r="D25" s="11" t="inlineStr">
        <is>
          <t>Pre-processing</t>
        </is>
      </c>
    </row>
    <row r="26" ht="18" customHeight="1">
      <c r="A26" s="10" t="inlineStr">
        <is>
          <t>4. Corrected data types</t>
        </is>
      </c>
      <c r="B26" s="11" t="inlineStr">
        <is>
          <t>All correct</t>
        </is>
      </c>
      <c r="C26" s="11" t="inlineStr">
        <is>
          <t>Numeric / Text / Date types</t>
        </is>
      </c>
      <c r="D26" s="11" t="inlineStr">
        <is>
          <t>Pre-processing</t>
        </is>
      </c>
    </row>
    <row r="27" ht="18" customHeight="1">
      <c r="A27" s="10" t="inlineStr">
        <is>
          <t>5. Computed Total Revenue</t>
        </is>
      </c>
      <c r="B27" s="11" t="inlineStr">
        <is>
          <t>New column</t>
        </is>
      </c>
      <c r="C27" s="11" t="inlineStr">
        <is>
          <t>Units Sold x Unit Price</t>
        </is>
      </c>
      <c r="D27" s="11" t="inlineStr">
        <is>
          <t>Feature Engineering</t>
        </is>
      </c>
    </row>
    <row r="28" ht="18" customHeight="1">
      <c r="A28" s="10" t="inlineStr">
        <is>
          <t>6. Customer segmentation</t>
        </is>
      </c>
      <c r="B28" s="11" t="inlineStr">
        <is>
          <t>3 segments</t>
        </is>
      </c>
      <c r="C28" s="11" t="inlineStr">
        <is>
          <t>Premium / Regular / Budget</t>
        </is>
      </c>
      <c r="D28" s="11" t="inlineStr">
        <is>
          <t>Feature Engineering</t>
        </is>
      </c>
    </row>
    <row r="29" ht="18" customHeight="1">
      <c r="A29" s="10" t="inlineStr">
        <is>
          <t>7. Added churn binary flag</t>
        </is>
      </c>
      <c r="B29" s="11" t="inlineStr">
        <is>
          <t>0 or 1</t>
        </is>
      </c>
      <c r="C29" s="11" t="inlineStr">
        <is>
          <t>1 = churned, 0 = retained</t>
        </is>
      </c>
      <c r="D29" s="11" t="inlineStr">
        <is>
          <t>Feature Engineering</t>
        </is>
      </c>
    </row>
    <row r="30" ht="18" customHeight="1"/>
    <row r="31" ht="18" customHeight="1"/>
  </sheetData>
  <mergeCells count="4">
    <mergeCell ref="A22:D22"/>
    <mergeCell ref="A15:D15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2026-06-16T06:05:20Z</dcterms:created>
  <dcterms:modified xmlns:dcterms="http://purl.org/dc/terms/" xmlns:xsi="http://www.w3.org/2001/XMLSchema-instance" xsi:type="dcterms:W3CDTF">2026-06-16T06:05:20Z</dcterms:modified>
</cp:coreProperties>
</file>